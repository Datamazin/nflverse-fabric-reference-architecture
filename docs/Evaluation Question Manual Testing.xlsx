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kerr\projects\nflverse-fabric-reference-architecture\docs\"/>
    </mc:Choice>
  </mc:AlternateContent>
  <xr:revisionPtr revIDLastSave="0" documentId="13_ncr:1_{09708E52-BC2C-4364-8D34-CBFC934B6EAD}" xr6:coauthVersionLast="47" xr6:coauthVersionMax="47" xr10:uidLastSave="{00000000-0000-0000-0000-000000000000}"/>
  <bookViews>
    <workbookView xWindow="34290" yWindow="1170" windowWidth="38620" windowHeight="21820" xr2:uid="{9F0101F7-F69D-41A6-809D-0EC8DCFBC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E25" i="1"/>
  <c r="F25" i="1"/>
  <c r="C25" i="1"/>
  <c r="E26" i="1"/>
  <c r="F26" i="1"/>
  <c r="D26" i="1"/>
  <c r="C26" i="1"/>
</calcChain>
</file>

<file path=xl/sharedStrings.xml><?xml version="1.0" encoding="utf-8"?>
<sst xmlns="http://schemas.openxmlformats.org/spreadsheetml/2006/main" count="30" uniqueCount="30">
  <si>
    <t>Question</t>
  </si>
  <si>
    <t>SM Data Agent</t>
  </si>
  <si>
    <t>LH Data Agent</t>
  </si>
  <si>
    <t>For QBs in 2025 with at least 100 clean dropbacks and at least 15 QB-hit dropbacks, who had the largest EPA per dropback differential between clean and QB-hit plays?</t>
  </si>
  <si>
    <t>How many regular-season NFL games were played in 2025?</t>
  </si>
  <si>
    <t>List the top 10 receivers by receiving yards in the 2025 regular season.</t>
  </si>
  <si>
    <t>List the top 5 quarterbacks by passing yards in the 2025 regular season.</t>
  </si>
  <si>
    <t>List the top 5 running backs by rushing yards in the 2025 regular season and include their rushing touchdowns.</t>
  </si>
  <si>
    <t>Quantify 2025 regular-season home-field advantage: home win rate, average home point differential, average home points, and average away points.</t>
  </si>
  <si>
    <t>What was the Detroit Lions' record at home versus on the road in the 2025 regular season?</t>
  </si>
  <si>
    <t>Which 10 running backs had the highest explosive run rate in the 2025 regular season, minimum 50 carries?</t>
  </si>
  <si>
    <t>Which 5 defenses allowed the fewest explosive plays per game in the 2025 regular season?</t>
  </si>
  <si>
    <t>Which quarterback had the highest CPOE on throws of 20 or more air yards in the 2025 regular season, minimum 30 such attempts?</t>
  </si>
  <si>
    <t>Which team had the most rushing touchdowns in the 2025 regular season?</t>
  </si>
  <si>
    <t>Which team had the best red zone touchdown rate in the 2025 regular season?</t>
  </si>
  <si>
    <t>Which kicker attempted the most field goals in the 2025 regular season, and what was their make rate?</t>
  </si>
  <si>
    <t>Which 2025 game had the most total points scored? Show the teams, final score, and week.</t>
  </si>
  <si>
    <t>Which 10 running backs had the highest stuff rate in the 2025 regular season, minimum 50 carries?</t>
  </si>
  <si>
    <t>What were Patrick Mahomes' completion percentage and TD-to-INT ratio in the 2025 regular season?</t>
  </si>
  <si>
    <t>What was the biggest single-play WPA swing in the 2025 regular season?</t>
  </si>
  <si>
    <t>What was the Chiefs third-down conversion rate in the 2025 regular season?</t>
  </si>
  <si>
    <t>List the top 10 running backs by EPA per rush in the 2025 regular season, minimum 50 carries.</t>
  </si>
  <si>
    <t>List the top 10 QBs by passing touchdowns in the 2025 regular season, with their interception count shown alongside.</t>
  </si>
  <si>
    <t>How many sacks did the 49ers defense record in the 2025 regular season, and who were their top 3 sack leaders?</t>
  </si>
  <si>
    <t>Average</t>
  </si>
  <si>
    <t>Query Runtime (sec)</t>
  </si>
  <si>
    <t>DAX</t>
  </si>
  <si>
    <t>SQL</t>
  </si>
  <si>
    <t>Data Agent Response Time (Sec)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</si>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</sst>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Alignment="1">
      <alignment horizontal="right" wrapText="1"/>
    </xf>
    <xf numFmtId="0" fontId="2" fillId="2" borderId="0" xfId="0" applyFont="1" applyFill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0" fontId="2" fillId="2" borderId="0" xfId="0" applyFont="1" applyFill="1" applyAlignment="1">
      <alignment horizontal="center"/>
    </xf>
    <xf numFmtId="43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92808</xdr:colOff>
      <xdr:row>28</xdr:row>
      <xdr:rowOff>151423</xdr:rowOff>
    </xdr:from>
    <xdr:to>
      <xdr:col>2</xdr:col>
      <xdr:colOff>405423</xdr:colOff>
      <xdr:row>35</xdr:row>
      <xdr:rowOff>117230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1F1DCF-48D5-FCC9-2EA2-CF6CFB1E2D68}"/>
            </a:ext>
          </a:extLst>
        </xdr:cNvPr>
        <xdr:cNvSpPr txBox="1"/>
      </xdr:nvSpPr>
      <xdr:spPr>
        <a:xfrm>
          <a:off x="703385" y="6247423"/>
          <a:ext cx="6110653" cy="12651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Methodology:</a:t>
          </a:r>
        </a:p>
        <a:p>
          <a:r>
            <a:rPr lang="en-US" sz="1100"/>
            <a:t>1. Each question pasted into data agent after pressing "Clear Chat" -- each question is the 1st in the conversation</a:t>
          </a:r>
        </a:p>
        <a:p>
          <a:r>
            <a:rPr lang="en-US" sz="1100"/>
            <a:t>2. Data agent time is the "Response time" taken from the Data Agent output step.</a:t>
          </a:r>
        </a:p>
        <a:p>
          <a:r>
            <a:rPr lang="en-US" sz="1100"/>
            <a:t>3. For DAX</a:t>
          </a:r>
          <a:r>
            <a:rPr lang="en-US" sz="1100" baseline="0"/>
            <a:t> Query time: D</a:t>
          </a:r>
          <a:r>
            <a:rPr lang="en-US" sz="1100"/>
            <a:t>AX query copy/pasted into Power</a:t>
          </a:r>
          <a:r>
            <a:rPr lang="en-US" sz="1100" baseline="0"/>
            <a:t> BI Explore/DAX Query window </a:t>
          </a:r>
        </a:p>
        <a:p>
          <a:r>
            <a:rPr lang="en-US" sz="1100" baseline="0"/>
            <a:t>4. For SQL Query time: SQL query copy/pasted into SQL Analytics Endpoint query window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1DCC-7B3B-4327-B7F9-CB26EE5E22B2}">
  <dimension ref="A1:F26"/>
  <sheetViews>
    <sheetView tabSelected="1" zoomScale="130" zoomScaleNormal="130" workbookViewId="0">
      <selection activeCell="A25" sqref="A25"/>
    </sheetView>
  </sheetViews>
  <sheetFormatPr defaultRowHeight="14.4" x14ac:dyDescent="0.3"/>
  <cols>
    <col min="2" max="2" width="84.5546875" customWidth="1"/>
    <col min="3" max="3" width="15.6640625" customWidth="1"/>
    <col min="4" max="4" width="16" customWidth="1"/>
    <col min="5" max="5" width="16.21875" customWidth="1"/>
    <col min="6" max="6" width="14.5546875" customWidth="1"/>
  </cols>
  <sheetData>
    <row r="1" spans="1:6" x14ac:dyDescent="0.3">
      <c r="A1" s="2"/>
      <c r="B1" s="2"/>
      <c r="C1" s="7" t="s">
        <v>28</v>
      </c>
      <c r="D1" s="7"/>
      <c r="E1" s="7" t="s">
        <v>25</v>
      </c>
      <c r="F1" s="7"/>
    </row>
    <row r="2" spans="1:6" x14ac:dyDescent="0.3">
      <c r="A2" s="2"/>
      <c r="B2" s="2" t="s">
        <v>0</v>
      </c>
      <c r="C2" s="2" t="s">
        <v>1</v>
      </c>
      <c r="D2" s="2" t="s">
        <v>2</v>
      </c>
      <c r="E2" s="4" t="s">
        <v>26</v>
      </c>
      <c r="F2" s="4" t="s">
        <v>27</v>
      </c>
    </row>
    <row r="3" spans="1:6" x14ac:dyDescent="0.3">
      <c r="A3">
        <v>1</v>
      </c>
      <c r="B3" t="s">
        <v>3</v>
      </c>
      <c r="C3" s="6">
        <v>22</v>
      </c>
      <c r="D3" s="6">
        <v>12</v>
      </c>
      <c r="E3" s="5">
        <v>0.74</v>
      </c>
      <c r="F3" s="5">
        <v>0.78</v>
      </c>
    </row>
    <row r="4" spans="1:6" x14ac:dyDescent="0.3">
      <c r="A4">
        <v>2</v>
      </c>
      <c r="B4" t="s">
        <v>4</v>
      </c>
      <c r="C4" s="6">
        <v>7</v>
      </c>
      <c r="D4" s="6">
        <v>9</v>
      </c>
      <c r="E4" s="5">
        <v>1.75</v>
      </c>
      <c r="F4" s="5">
        <v>1.41</v>
      </c>
    </row>
    <row r="5" spans="1:6" ht="28.8" x14ac:dyDescent="0.3">
      <c r="A5">
        <v>3</v>
      </c>
      <c r="B5" s="1" t="s">
        <v>23</v>
      </c>
      <c r="C5" s="6">
        <v>23</v>
      </c>
      <c r="D5" s="6">
        <v>11</v>
      </c>
      <c r="E5" s="5">
        <v>0.54</v>
      </c>
      <c r="F5" s="5">
        <v>1.17</v>
      </c>
    </row>
    <row r="6" spans="1:6" ht="28.8" x14ac:dyDescent="0.3">
      <c r="A6">
        <v>4</v>
      </c>
      <c r="B6" s="1" t="s">
        <v>22</v>
      </c>
      <c r="C6" s="6">
        <v>17</v>
      </c>
      <c r="D6" s="6">
        <v>10</v>
      </c>
      <c r="E6" s="5">
        <v>0.6</v>
      </c>
      <c r="F6" s="5">
        <v>1.1499999999999999</v>
      </c>
    </row>
    <row r="7" spans="1:6" x14ac:dyDescent="0.3">
      <c r="A7">
        <v>5</v>
      </c>
      <c r="B7" t="s">
        <v>5</v>
      </c>
      <c r="C7" s="6">
        <v>14</v>
      </c>
      <c r="D7" s="6">
        <v>9</v>
      </c>
      <c r="E7" s="5">
        <v>1.4</v>
      </c>
      <c r="F7" s="5">
        <v>0.75</v>
      </c>
    </row>
    <row r="8" spans="1:6" x14ac:dyDescent="0.3">
      <c r="A8">
        <v>6</v>
      </c>
      <c r="B8" s="1" t="s">
        <v>21</v>
      </c>
      <c r="C8" s="6">
        <v>26</v>
      </c>
      <c r="D8" s="6">
        <v>11</v>
      </c>
      <c r="E8" s="5">
        <v>1.1000000000000001</v>
      </c>
      <c r="F8" s="5">
        <v>1.06</v>
      </c>
    </row>
    <row r="9" spans="1:6" x14ac:dyDescent="0.3">
      <c r="A9">
        <v>7</v>
      </c>
      <c r="B9" s="1" t="s">
        <v>6</v>
      </c>
      <c r="C9" s="6">
        <v>21</v>
      </c>
      <c r="D9" s="6">
        <v>8</v>
      </c>
      <c r="E9" s="5">
        <v>1.4</v>
      </c>
      <c r="F9" s="5">
        <v>1.07</v>
      </c>
    </row>
    <row r="10" spans="1:6" ht="28.8" x14ac:dyDescent="0.3">
      <c r="A10">
        <v>8</v>
      </c>
      <c r="B10" s="1" t="s">
        <v>7</v>
      </c>
      <c r="C10" s="6">
        <v>16</v>
      </c>
      <c r="D10" s="6">
        <v>10</v>
      </c>
      <c r="E10" s="5">
        <v>1.3</v>
      </c>
      <c r="F10" s="5">
        <v>1.2</v>
      </c>
    </row>
    <row r="11" spans="1:6" ht="28.8" x14ac:dyDescent="0.3">
      <c r="A11">
        <v>9</v>
      </c>
      <c r="B11" s="1" t="s">
        <v>8</v>
      </c>
      <c r="C11" s="6">
        <v>11</v>
      </c>
      <c r="D11" s="6">
        <v>10</v>
      </c>
      <c r="E11" s="5">
        <v>0.6</v>
      </c>
      <c r="F11" s="5">
        <v>1</v>
      </c>
    </row>
    <row r="12" spans="1:6" x14ac:dyDescent="0.3">
      <c r="A12">
        <v>10</v>
      </c>
      <c r="B12" s="1" t="s">
        <v>20</v>
      </c>
      <c r="C12" s="6">
        <v>12</v>
      </c>
      <c r="D12" s="6">
        <v>10</v>
      </c>
      <c r="E12" s="5">
        <v>1.4</v>
      </c>
      <c r="F12" s="5">
        <v>1.1000000000000001</v>
      </c>
    </row>
    <row r="13" spans="1:6" x14ac:dyDescent="0.3">
      <c r="A13">
        <v>11</v>
      </c>
      <c r="B13" s="1" t="s">
        <v>9</v>
      </c>
      <c r="C13" s="6">
        <v>16</v>
      </c>
      <c r="D13" s="6">
        <v>8</v>
      </c>
      <c r="E13" s="5">
        <v>1.2</v>
      </c>
      <c r="F13" s="5">
        <v>1.1000000000000001</v>
      </c>
    </row>
    <row r="14" spans="1:6" x14ac:dyDescent="0.3">
      <c r="A14">
        <v>12</v>
      </c>
      <c r="B14" s="1" t="s">
        <v>19</v>
      </c>
      <c r="C14" s="6">
        <v>21</v>
      </c>
      <c r="D14" s="6">
        <v>12</v>
      </c>
      <c r="E14" s="5">
        <v>0.7</v>
      </c>
      <c r="F14" s="5">
        <v>1.1000000000000001</v>
      </c>
    </row>
    <row r="15" spans="1:6" x14ac:dyDescent="0.3">
      <c r="A15">
        <v>13</v>
      </c>
      <c r="B15" s="1" t="s">
        <v>18</v>
      </c>
      <c r="C15" s="6">
        <v>23</v>
      </c>
      <c r="D15" s="6">
        <v>8</v>
      </c>
      <c r="E15" s="5">
        <v>0.6</v>
      </c>
      <c r="F15" s="5">
        <v>1.2</v>
      </c>
    </row>
    <row r="16" spans="1:6" ht="28.8" x14ac:dyDescent="0.3">
      <c r="A16">
        <v>14</v>
      </c>
      <c r="B16" s="1" t="s">
        <v>10</v>
      </c>
      <c r="C16" s="6">
        <v>21</v>
      </c>
      <c r="D16" s="6">
        <v>10</v>
      </c>
      <c r="E16" s="5">
        <v>1</v>
      </c>
      <c r="F16" s="5">
        <v>1.2</v>
      </c>
    </row>
    <row r="17" spans="1:6" x14ac:dyDescent="0.3">
      <c r="A17">
        <v>15</v>
      </c>
      <c r="B17" s="1" t="s">
        <v>17</v>
      </c>
      <c r="C17" s="6">
        <v>21</v>
      </c>
      <c r="D17" s="6">
        <v>12</v>
      </c>
      <c r="E17" s="5">
        <v>0.7</v>
      </c>
      <c r="F17" s="5">
        <v>1.2</v>
      </c>
    </row>
    <row r="18" spans="1:6" x14ac:dyDescent="0.3">
      <c r="A18">
        <v>16</v>
      </c>
      <c r="B18" s="1" t="s">
        <v>16</v>
      </c>
      <c r="C18" s="6">
        <v>17</v>
      </c>
      <c r="D18" s="6">
        <v>8</v>
      </c>
      <c r="E18" s="5">
        <v>0.7</v>
      </c>
      <c r="F18" s="5">
        <v>1.2</v>
      </c>
    </row>
    <row r="19" spans="1:6" x14ac:dyDescent="0.3">
      <c r="A19">
        <v>17</v>
      </c>
      <c r="B19" s="1" t="s">
        <v>11</v>
      </c>
      <c r="C19" s="6">
        <v>14</v>
      </c>
      <c r="D19" s="6">
        <v>8</v>
      </c>
      <c r="E19" s="5">
        <v>0.6</v>
      </c>
      <c r="F19" s="5">
        <v>1</v>
      </c>
    </row>
    <row r="20" spans="1:6" x14ac:dyDescent="0.3">
      <c r="A20">
        <v>18</v>
      </c>
      <c r="B20" s="1" t="s">
        <v>15</v>
      </c>
      <c r="C20" s="6">
        <v>16</v>
      </c>
      <c r="D20" s="6">
        <v>8</v>
      </c>
      <c r="E20" s="5">
        <v>1.6</v>
      </c>
      <c r="F20" s="5">
        <v>1.2</v>
      </c>
    </row>
    <row r="21" spans="1:6" ht="28.8" x14ac:dyDescent="0.3">
      <c r="A21">
        <v>19</v>
      </c>
      <c r="B21" s="1" t="s">
        <v>12</v>
      </c>
      <c r="C21" s="6">
        <v>19</v>
      </c>
      <c r="D21" s="6">
        <v>9</v>
      </c>
      <c r="E21" s="5">
        <v>0.7</v>
      </c>
      <c r="F21" s="5">
        <v>1</v>
      </c>
    </row>
    <row r="22" spans="1:6" x14ac:dyDescent="0.3">
      <c r="A22">
        <v>20</v>
      </c>
      <c r="B22" s="1" t="s">
        <v>14</v>
      </c>
      <c r="C22" s="6">
        <v>14</v>
      </c>
      <c r="D22" s="6">
        <v>8</v>
      </c>
      <c r="E22" s="5">
        <v>0.7</v>
      </c>
      <c r="F22" s="5">
        <v>1.1000000000000001</v>
      </c>
    </row>
    <row r="23" spans="1:6" x14ac:dyDescent="0.3">
      <c r="A23">
        <v>21</v>
      </c>
      <c r="B23" s="1" t="s">
        <v>13</v>
      </c>
      <c r="C23" s="6">
        <v>23</v>
      </c>
      <c r="D23" s="6">
        <v>10</v>
      </c>
      <c r="E23" s="5">
        <v>0.9</v>
      </c>
      <c r="F23" s="5">
        <v>1.2</v>
      </c>
    </row>
    <row r="24" spans="1:6" x14ac:dyDescent="0.3">
      <c r="C24" s="6"/>
      <c r="D24" s="6"/>
      <c r="E24" s="5"/>
      <c r="F24" s="5"/>
    </row>
    <row r="25" spans="1:6" x14ac:dyDescent="0.3">
      <c r="B25" s="3" t="s">
        <v>29</v>
      </c>
      <c r="C25" s="8">
        <f>MEDIAN(C3:C23)</f>
        <v>17</v>
      </c>
      <c r="D25" s="8">
        <f>MEDIAN(D3:D23)</f>
        <v>10</v>
      </c>
      <c r="E25" s="8">
        <f>MEDIAN(E3:E23)</f>
        <v>0.74</v>
      </c>
      <c r="F25" s="8">
        <f>MEDIAN(F3:F23)</f>
        <v>1.1000000000000001</v>
      </c>
    </row>
    <row r="26" spans="1:6" x14ac:dyDescent="0.3">
      <c r="B26" s="3" t="s">
        <v>24</v>
      </c>
      <c r="C26" s="8">
        <f>AVERAGE(C3:C23)</f>
        <v>17.80952380952381</v>
      </c>
      <c r="D26" s="8">
        <f>AVERAGE(D3:D23)</f>
        <v>9.5714285714285712</v>
      </c>
      <c r="E26" s="8">
        <f t="shared" ref="E26:F26" si="0">AVERAGE(E3:E23)</f>
        <v>0.96333333333333315</v>
      </c>
      <c r="F26" s="8">
        <f t="shared" si="0"/>
        <v>1.1042857142857141</v>
      </c>
    </row>
  </sheetData>
  <mergeCells count="2">
    <mergeCell ref="C1:D1"/>
    <mergeCell ref="E1:F1"/>
  </mergeCells>
  <conditionalFormatting sqref="C3:D23 E4:F4 E3 E5:E23 F17:F23 F11:F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{0B9FF524-8BF4-4E6F-B606-D2986A20B4EA}</x14:id>
        </ext>
      </extLst>
    </cfRule>
  </conditionalFormatting>
  <conditionalFormatting sqref="D3:D23 E4:F4 E3 E5:E23 F17:F23 F11:F13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{39B7A51E-3719-402C-8085-0621F4FA260E}</x14:id>
        </ext>
      </extLst>
    </cfRule>
  </conditionalFormatting>
  <conditionalFormatting sqref="E3:F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{D853577E-7161-4E96-8DE3-B1C5C6CCB8D9}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9FF524-8BF4-4E6F-B606-D2986A20B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C3:D23 E4:F4 E3 E5:E23 F17:F23 F11:F13</xm:sqref>
        </x14:conditionalFormatting>
        <x14:conditionalFormatting xmlns:xm="http://schemas.microsoft.com/office/excel/2006/main">
          <x14:cfRule type="dataBar" id="{39B7A51E-3719-402C-8085-0621F4FA2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D3:D23 E4:F4 E3 E5:E23 F17:F23 F11:F13</xm:sqref>
        </x14:conditionalFormatting>
        <x14:conditionalFormatting xmlns:xm="http://schemas.microsoft.com/office/excel/2006/main">
          <x14:cfRule type="dataBar" id="{D853577E-7161-4E96-8DE3-B1C5C6CCB8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E3:F23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Kerr</dc:creator>
  <cp:lastModifiedBy>Rob Kerr</cp:lastModifiedBy>
  <dcterms:created xsi:type="dcterms:W3CDTF">2026-05-17T03:54:51Z</dcterms:created>
  <dcterms:modified xsi:type="dcterms:W3CDTF">2026-05-18T14:32:40Z</dcterms:modified>
</cp:coreProperties>
</file>